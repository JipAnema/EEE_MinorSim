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ipan\Documents\EEE_MinorSim\CSV profiles\"/>
    </mc:Choice>
  </mc:AlternateContent>
  <xr:revisionPtr revIDLastSave="0" documentId="13_ncr:1_{CA2D9720-398C-4AAB-B5E9-BA619B850A2F}" xr6:coauthVersionLast="47" xr6:coauthVersionMax="47" xr10:uidLastSave="{00000000-0000-0000-0000-000000000000}"/>
  <bookViews>
    <workbookView xWindow="14295" yWindow="-16200" windowWidth="14610" windowHeight="15585" xr2:uid="{00000000-000D-0000-FFFF-FFFF00000000}"/>
  </bookViews>
  <sheets>
    <sheet name="Fermentation profile v_0.1" sheetId="2" r:id="rId1"/>
    <sheet name="SimplFermentation Power Profile"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2" l="1"/>
  <c r="I10" i="2"/>
  <c r="I11" i="2"/>
  <c r="I12" i="2"/>
  <c r="I13" i="2"/>
  <c r="I14" i="2"/>
  <c r="I15" i="2"/>
  <c r="I16" i="2"/>
  <c r="I17" i="2"/>
  <c r="I18" i="2"/>
  <c r="I19" i="2"/>
  <c r="I20" i="2"/>
  <c r="I21" i="2"/>
  <c r="I22" i="2"/>
  <c r="I8" i="2"/>
  <c r="T22" i="2"/>
  <c r="U22" i="2" s="1"/>
  <c r="V22" i="2" s="1"/>
  <c r="W22" i="2" s="1"/>
  <c r="O22" i="2" s="1"/>
  <c r="T21" i="2"/>
  <c r="L21" i="2" s="1"/>
  <c r="T20" i="2"/>
  <c r="U20" i="2" s="1"/>
  <c r="V20" i="2" s="1"/>
  <c r="W20" i="2" s="1"/>
  <c r="O20" i="2" s="1"/>
  <c r="T19" i="2"/>
  <c r="L19" i="2" s="1"/>
  <c r="T18" i="2"/>
  <c r="L18" i="2" s="1"/>
  <c r="T17" i="2"/>
  <c r="L17" i="2" s="1"/>
  <c r="T16" i="2"/>
  <c r="U16" i="2" s="1"/>
  <c r="V16" i="2" s="1"/>
  <c r="N16" i="2" s="1"/>
  <c r="T15" i="2"/>
  <c r="L15" i="2" s="1"/>
  <c r="T14" i="2"/>
  <c r="U14" i="2" s="1"/>
  <c r="V14" i="2" s="1"/>
  <c r="W14" i="2" s="1"/>
  <c r="O14" i="2" s="1"/>
  <c r="T13" i="2"/>
  <c r="L13" i="2" s="1"/>
  <c r="T12" i="2"/>
  <c r="L12" i="2" s="1"/>
  <c r="T11" i="2"/>
  <c r="L11" i="2" s="1"/>
  <c r="T10" i="2"/>
  <c r="L10" i="2" s="1"/>
  <c r="T9" i="2"/>
  <c r="L9" i="2" s="1"/>
  <c r="T8" i="2"/>
  <c r="L8" i="2" s="1"/>
  <c r="L6" i="2"/>
  <c r="L7" i="2"/>
  <c r="M7" i="2"/>
  <c r="N7" i="2"/>
  <c r="O7" i="2"/>
  <c r="K7" i="2"/>
  <c r="K9" i="2"/>
  <c r="K10" i="2"/>
  <c r="K11" i="2"/>
  <c r="K12" i="2"/>
  <c r="K13" i="2"/>
  <c r="K14" i="2"/>
  <c r="K15" i="2"/>
  <c r="K16" i="2"/>
  <c r="K17" i="2"/>
  <c r="K18" i="2"/>
  <c r="K19" i="2"/>
  <c r="K20" i="2"/>
  <c r="K21" i="2"/>
  <c r="K22" i="2"/>
  <c r="K8" i="2"/>
  <c r="U19" i="2" l="1"/>
  <c r="V19" i="2" s="1"/>
  <c r="W19" i="2" s="1"/>
  <c r="O19" i="2" s="1"/>
  <c r="U13" i="2"/>
  <c r="V13" i="2" s="1"/>
  <c r="W13" i="2" s="1"/>
  <c r="O13" i="2" s="1"/>
  <c r="N22" i="2"/>
  <c r="N14" i="2"/>
  <c r="M22" i="2"/>
  <c r="M16" i="2"/>
  <c r="N19" i="2"/>
  <c r="N13" i="2"/>
  <c r="W16" i="2"/>
  <c r="O16" i="2" s="1"/>
  <c r="N20" i="2"/>
  <c r="M20" i="2"/>
  <c r="M14" i="2"/>
  <c r="M19" i="2"/>
  <c r="P19" i="2" s="1"/>
  <c r="M13" i="2"/>
  <c r="P13" i="2" s="1"/>
  <c r="L16" i="2"/>
  <c r="U10" i="2"/>
  <c r="L22" i="2"/>
  <c r="L20" i="2"/>
  <c r="P20" i="2" s="1"/>
  <c r="U18" i="2"/>
  <c r="U12" i="2"/>
  <c r="L14" i="2"/>
  <c r="U8" i="2"/>
  <c r="U17" i="2"/>
  <c r="U11" i="2"/>
  <c r="U21" i="2"/>
  <c r="U15" i="2"/>
  <c r="U9" i="2"/>
  <c r="P22" i="2" l="1"/>
  <c r="P14" i="2"/>
  <c r="P16" i="2"/>
  <c r="V8" i="2"/>
  <c r="M8" i="2"/>
  <c r="V10" i="2"/>
  <c r="M10" i="2"/>
  <c r="V9" i="2"/>
  <c r="M9" i="2"/>
  <c r="V15" i="2"/>
  <c r="M15" i="2"/>
  <c r="V12" i="2"/>
  <c r="M12" i="2"/>
  <c r="V21" i="2"/>
  <c r="M21" i="2"/>
  <c r="V18" i="2"/>
  <c r="M18" i="2"/>
  <c r="V11" i="2"/>
  <c r="M11" i="2"/>
  <c r="V17" i="2"/>
  <c r="M17" i="2"/>
  <c r="N17" i="2" l="1"/>
  <c r="W17" i="2"/>
  <c r="O17" i="2" s="1"/>
  <c r="N21" i="2"/>
  <c r="W21" i="2"/>
  <c r="O21" i="2" s="1"/>
  <c r="N9" i="2"/>
  <c r="W9" i="2"/>
  <c r="O9" i="2" s="1"/>
  <c r="N11" i="2"/>
  <c r="W11" i="2"/>
  <c r="O11" i="2" s="1"/>
  <c r="W12" i="2"/>
  <c r="O12" i="2" s="1"/>
  <c r="N12" i="2"/>
  <c r="P12" i="2" s="1"/>
  <c r="N10" i="2"/>
  <c r="P10" i="2" s="1"/>
  <c r="W10" i="2"/>
  <c r="O10" i="2" s="1"/>
  <c r="W18" i="2"/>
  <c r="O18" i="2" s="1"/>
  <c r="N18" i="2"/>
  <c r="P18" i="2" s="1"/>
  <c r="N15" i="2"/>
  <c r="W15" i="2"/>
  <c r="O15" i="2" s="1"/>
  <c r="N8" i="2"/>
  <c r="W8" i="2"/>
  <c r="O8" i="2" s="1"/>
  <c r="P21" i="2" l="1"/>
  <c r="P11" i="2"/>
  <c r="P17" i="2"/>
  <c r="P15" i="2"/>
  <c r="P8" i="2"/>
  <c r="P9" i="2"/>
</calcChain>
</file>

<file path=xl/sharedStrings.xml><?xml version="1.0" encoding="utf-8"?>
<sst xmlns="http://schemas.openxmlformats.org/spreadsheetml/2006/main" count="38" uniqueCount="38">
  <si>
    <t>Time (h)</t>
  </si>
  <si>
    <t>Agitation Power (kW)</t>
  </si>
  <si>
    <t>Sparging Power (kW)</t>
  </si>
  <si>
    <t>Cooling Power (kW)</t>
  </si>
  <si>
    <t>Bron: chatgpt</t>
  </si>
  <si>
    <t>diverse prompting, starting with:</t>
  </si>
  <si>
    <t>please provide an overview of power demand in kW for a dynamic fermentation process, in a scada controlled plant. In which the power input for cooling, is separeted from the sparging and stirring of the fermentation mixture. please indicate what type of equipment is used and which process steps occur in time.</t>
  </si>
  <si>
    <t>* detailed control around 36 hours of process</t>
  </si>
  <si>
    <t xml:space="preserve">* circulation pump, related to cooling installation </t>
  </si>
  <si>
    <t>Dominant power driver</t>
  </si>
  <si>
    <t>Agitation Power</t>
  </si>
  <si>
    <t>Sparging Power</t>
  </si>
  <si>
    <t>Cooling Power (including heating)</t>
  </si>
  <si>
    <t>Circulation pump</t>
  </si>
  <si>
    <t>Low agitation, minimal cooling</t>
  </si>
  <si>
    <t>Gradual increase in mixing &amp; air</t>
  </si>
  <si>
    <t>Peak agitation + cooling</t>
  </si>
  <si>
    <t>Moderated but steady loads</t>
  </si>
  <si>
    <t>Rapid power reduction</t>
  </si>
  <si>
    <t>Time range (h)</t>
  </si>
  <si>
    <t>Phase</t>
  </si>
  <si>
    <t>0–4</t>
  </si>
  <si>
    <t>Fill / heat-up</t>
  </si>
  <si>
    <t>4–10</t>
  </si>
  <si>
    <t>Inoculation / lag</t>
  </si>
  <si>
    <t>10–40</t>
  </si>
  <si>
    <t>Exponential growth</t>
  </si>
  <si>
    <t>40–80</t>
  </si>
  <si>
    <t>Production / stationary</t>
  </si>
  <si>
    <t>80–90</t>
  </si>
  <si>
    <t>Termination / emptying</t>
  </si>
  <si>
    <t>time (h)</t>
  </si>
  <si>
    <t>power in kW</t>
  </si>
  <si>
    <t>* including post process power peak</t>
  </si>
  <si>
    <t>Additions to simple Fermentation power profile version 0.1</t>
  </si>
  <si>
    <t xml:space="preserve">* no sparging during inoculation </t>
  </si>
  <si>
    <t>Factor</t>
  </si>
  <si>
    <t>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</si>
</sst>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1" fillId="0" borderId="0" xfId="0" applyFont="1"/>
    <xf numFmtId="0" fontId="0" fillId="0" borderId="0" xfId="0" applyAlignment="1">
      <alignment vertical="center" wrapText="1"/>
    </xf>
    <xf numFmtId="0" fontId="1" fillId="0" borderId="0" xfId="0" applyFont="1" applyAlignment="1">
      <alignment vertical="center" wrapText="1"/>
    </xf>
    <xf numFmtId="20" fontId="0" fillId="0" borderId="0" xfId="0" applyNumberFormat="1"/>
    <xf numFmtId="0" fontId="0" fillId="0" borderId="0" xfId="0" applyAlignment="1">
      <alignment horizontal="center"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'Fermentation profile v_0.1'!$E$7</c:f>
              <c:strCache>
                <c:ptCount val="1"/>
                <c:pt idx="0">
                  <c:v>Agitation Power</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'Fermentation profile v_0.1'!$D$8:$D$21</c:f>
              <c:numCache>
                <c:formatCode>General</c:formatCode>
                <c:ptCount val="14"/>
                <c:pt idx="0">
                  <c:v>0</c:v>
                </c:pt>
                <c:pt idx="1">
                  <c:v>4</c:v>
                </c:pt>
                <c:pt idx="2">
                  <c:v>10</c:v>
                </c:pt>
                <c:pt idx="3">
                  <c:v>20</c:v>
                </c:pt>
                <c:pt idx="4">
                  <c:v>32</c:v>
                </c:pt>
                <c:pt idx="5">
                  <c:v>36</c:v>
                </c:pt>
                <c:pt idx="6">
                  <c:v>37</c:v>
                </c:pt>
                <c:pt idx="7">
                  <c:v>38</c:v>
                </c:pt>
                <c:pt idx="8">
                  <c:v>40</c:v>
                </c:pt>
                <c:pt idx="9">
                  <c:v>60</c:v>
                </c:pt>
                <c:pt idx="10">
                  <c:v>80</c:v>
                </c:pt>
                <c:pt idx="11">
                  <c:v>85</c:v>
                </c:pt>
                <c:pt idx="12">
                  <c:v>87</c:v>
                </c:pt>
                <c:pt idx="13">
                  <c:v>88</c:v>
                </c:pt>
              </c:numCache>
            </c:numRef>
          </c:xVal>
          <c:yVal>
            <c:numRef>
              <c:f>'Fermentation profile v_0.1'!$E$8:$E$21</c:f>
              <c:numCache>
                <c:formatCode>General</c:formatCode>
                <c:ptCount val="14"/>
                <c:pt idx="0">
                  <c:v>5</c:v>
                </c:pt>
                <c:pt idx="1">
                  <c:v>10</c:v>
                </c:pt>
                <c:pt idx="2">
                  <c:v>40</c:v>
                </c:pt>
                <c:pt idx="3">
                  <c:v>55</c:v>
                </c:pt>
                <c:pt idx="4">
                  <c:v>57</c:v>
                </c:pt>
                <c:pt idx="5">
                  <c:v>59</c:v>
                </c:pt>
                <c:pt idx="6">
                  <c:v>60</c:v>
                </c:pt>
                <c:pt idx="7">
                  <c:v>59</c:v>
                </c:pt>
                <c:pt idx="8">
                  <c:v>58</c:v>
                </c:pt>
                <c:pt idx="9">
                  <c:v>50</c:v>
                </c:pt>
                <c:pt idx="10">
                  <c:v>25</c:v>
                </c:pt>
                <c:pt idx="11">
                  <c:v>5</c:v>
                </c:pt>
                <c:pt idx="12">
                  <c:v>0</c:v>
                </c:pt>
                <c:pt idx="13">
                  <c:v>0</c:v>
                </c:pt>
              </c:numCache>
            </c:numRef>
          </c:yVal>
          <c:smooth val="0"/>
          <c:extLst>
            <c:ext xmlns:c16="http://schemas.microsoft.com/office/drawing/2014/chart" uri="{C3380CC4-5D6E-409C-BE32-E72D297353CC}">
              <c16:uniqueId val="{00000000-1397-4F75-9FCE-DE7BCF6E41D0}"/>
            </c:ext>
          </c:extLst>
        </c:ser>
        <c:ser>
          <c:idx val="1"/>
          <c:order val="1"/>
          <c:tx>
            <c:strRef>
              <c:f>'Fermentation profile v_0.1'!$F$7</c:f>
              <c:strCache>
                <c:ptCount val="1"/>
                <c:pt idx="0">
                  <c:v>Sparging Power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'Fermentation profile v_0.1'!$D$8:$D$21</c:f>
              <c:numCache>
                <c:formatCode>General</c:formatCode>
                <c:ptCount val="14"/>
                <c:pt idx="0">
                  <c:v>0</c:v>
                </c:pt>
                <c:pt idx="1">
                  <c:v>4</c:v>
                </c:pt>
                <c:pt idx="2">
                  <c:v>10</c:v>
                </c:pt>
                <c:pt idx="3">
                  <c:v>20</c:v>
                </c:pt>
                <c:pt idx="4">
                  <c:v>32</c:v>
                </c:pt>
                <c:pt idx="5">
                  <c:v>36</c:v>
                </c:pt>
                <c:pt idx="6">
                  <c:v>37</c:v>
                </c:pt>
                <c:pt idx="7">
                  <c:v>38</c:v>
                </c:pt>
                <c:pt idx="8">
                  <c:v>40</c:v>
                </c:pt>
                <c:pt idx="9">
                  <c:v>60</c:v>
                </c:pt>
                <c:pt idx="10">
                  <c:v>80</c:v>
                </c:pt>
                <c:pt idx="11">
                  <c:v>85</c:v>
                </c:pt>
                <c:pt idx="12">
                  <c:v>87</c:v>
                </c:pt>
                <c:pt idx="13">
                  <c:v>88</c:v>
                </c:pt>
              </c:numCache>
            </c:numRef>
          </c:xVal>
          <c:yVal>
            <c:numRef>
              <c:f>'Fermentation profile v_0.1'!$F$8:$F$21</c:f>
              <c:numCache>
                <c:formatCode>General</c:formatCode>
                <c:ptCount val="14"/>
                <c:pt idx="0">
                  <c:v>0</c:v>
                </c:pt>
                <c:pt idx="1">
                  <c:v>0</c:v>
                </c:pt>
                <c:pt idx="2">
                  <c:v>17</c:v>
                </c:pt>
                <c:pt idx="3">
                  <c:v>18</c:v>
                </c:pt>
                <c:pt idx="4">
                  <c:v>18</c:v>
                </c:pt>
                <c:pt idx="5">
                  <c:v>16</c:v>
                </c:pt>
                <c:pt idx="6">
                  <c:v>15</c:v>
                </c:pt>
                <c:pt idx="7">
                  <c:v>14</c:v>
                </c:pt>
                <c:pt idx="8">
                  <c:v>13</c:v>
                </c:pt>
                <c:pt idx="9">
                  <c:v>10</c:v>
                </c:pt>
                <c:pt idx="10">
                  <c:v>8</c:v>
                </c:pt>
                <c:pt idx="11">
                  <c:v>0</c:v>
                </c:pt>
                <c:pt idx="12">
                  <c:v>0</c:v>
                </c:pt>
                <c:pt idx="13">
                  <c:v>0</c:v>
                </c:pt>
              </c:numCache>
            </c:numRef>
          </c:yVal>
          <c:smooth val="0"/>
          <c:extLst>
            <c:ext xmlns:c16="http://schemas.microsoft.com/office/drawing/2014/chart" uri="{C3380CC4-5D6E-409C-BE32-E72D297353CC}">
              <c16:uniqueId val="{00000001-1397-4F75-9FCE-DE7BCF6E41D0}"/>
            </c:ext>
          </c:extLst>
        </c:ser>
        <c:ser>
          <c:idx val="2"/>
          <c:order val="2"/>
          <c:tx>
            <c:strRef>
              <c:f>'Fermentation profile v_0.1'!$G$7</c:f>
              <c:strCache>
                <c:ptCount val="1"/>
                <c:pt idx="0">
                  <c:v>Cooling Power (including heating)</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'Fermentation profile v_0.1'!$D$8:$D$21</c:f>
              <c:numCache>
                <c:formatCode>General</c:formatCode>
                <c:ptCount val="14"/>
                <c:pt idx="0">
                  <c:v>0</c:v>
                </c:pt>
                <c:pt idx="1">
                  <c:v>4</c:v>
                </c:pt>
                <c:pt idx="2">
                  <c:v>10</c:v>
                </c:pt>
                <c:pt idx="3">
                  <c:v>20</c:v>
                </c:pt>
                <c:pt idx="4">
                  <c:v>32</c:v>
                </c:pt>
                <c:pt idx="5">
                  <c:v>36</c:v>
                </c:pt>
                <c:pt idx="6">
                  <c:v>37</c:v>
                </c:pt>
                <c:pt idx="7">
                  <c:v>38</c:v>
                </c:pt>
                <c:pt idx="8">
                  <c:v>40</c:v>
                </c:pt>
                <c:pt idx="9">
                  <c:v>60</c:v>
                </c:pt>
                <c:pt idx="10">
                  <c:v>80</c:v>
                </c:pt>
                <c:pt idx="11">
                  <c:v>85</c:v>
                </c:pt>
                <c:pt idx="12">
                  <c:v>87</c:v>
                </c:pt>
                <c:pt idx="13">
                  <c:v>88</c:v>
                </c:pt>
              </c:numCache>
            </c:numRef>
          </c:xVal>
          <c:yVal>
            <c:numRef>
              <c:f>'Fermentation profile v_0.1'!$G$8:$G$21</c:f>
              <c:numCache>
                <c:formatCode>General</c:formatCode>
                <c:ptCount val="14"/>
                <c:pt idx="0">
                  <c:v>5</c:v>
                </c:pt>
                <c:pt idx="1">
                  <c:v>8</c:v>
                </c:pt>
                <c:pt idx="2">
                  <c:v>30</c:v>
                </c:pt>
                <c:pt idx="3">
                  <c:v>32</c:v>
                </c:pt>
                <c:pt idx="4">
                  <c:v>33</c:v>
                </c:pt>
                <c:pt idx="5">
                  <c:v>32</c:v>
                </c:pt>
                <c:pt idx="6">
                  <c:v>31</c:v>
                </c:pt>
                <c:pt idx="7">
                  <c:v>30</c:v>
                </c:pt>
                <c:pt idx="8">
                  <c:v>28</c:v>
                </c:pt>
                <c:pt idx="9">
                  <c:v>20</c:v>
                </c:pt>
                <c:pt idx="10">
                  <c:v>18</c:v>
                </c:pt>
                <c:pt idx="11">
                  <c:v>5</c:v>
                </c:pt>
                <c:pt idx="12">
                  <c:v>30</c:v>
                </c:pt>
                <c:pt idx="13">
                  <c:v>5</c:v>
                </c:pt>
              </c:numCache>
            </c:numRef>
          </c:yVal>
          <c:smooth val="0"/>
          <c:extLst>
            <c:ext xmlns:c16="http://schemas.microsoft.com/office/drawing/2014/chart" uri="{C3380CC4-5D6E-409C-BE32-E72D297353CC}">
              <c16:uniqueId val="{00000002-1397-4F75-9FCE-DE7BCF6E41D0}"/>
            </c:ext>
          </c:extLst>
        </c:ser>
        <c:ser>
          <c:idx val="3"/>
          <c:order val="3"/>
          <c:tx>
            <c:strRef>
              <c:f>'Fermentation profile v_0.1'!$H$7</c:f>
              <c:strCache>
                <c:ptCount val="1"/>
                <c:pt idx="0">
                  <c:v>Circulation pump</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'Fermentation profile v_0.1'!$D$8:$D$21</c:f>
              <c:numCache>
                <c:formatCode>General</c:formatCode>
                <c:ptCount val="14"/>
                <c:pt idx="0">
                  <c:v>0</c:v>
                </c:pt>
                <c:pt idx="1">
                  <c:v>4</c:v>
                </c:pt>
                <c:pt idx="2">
                  <c:v>10</c:v>
                </c:pt>
                <c:pt idx="3">
                  <c:v>20</c:v>
                </c:pt>
                <c:pt idx="4">
                  <c:v>32</c:v>
                </c:pt>
                <c:pt idx="5">
                  <c:v>36</c:v>
                </c:pt>
                <c:pt idx="6">
                  <c:v>37</c:v>
                </c:pt>
                <c:pt idx="7">
                  <c:v>38</c:v>
                </c:pt>
                <c:pt idx="8">
                  <c:v>40</c:v>
                </c:pt>
                <c:pt idx="9">
                  <c:v>60</c:v>
                </c:pt>
                <c:pt idx="10">
                  <c:v>80</c:v>
                </c:pt>
                <c:pt idx="11">
                  <c:v>85</c:v>
                </c:pt>
                <c:pt idx="12">
                  <c:v>87</c:v>
                </c:pt>
                <c:pt idx="13">
                  <c:v>88</c:v>
                </c:pt>
              </c:numCache>
            </c:numRef>
          </c:xVal>
          <c:yVal>
            <c:numRef>
              <c:f>'Fermentation profile v_0.1'!$H$8:$H$21</c:f>
              <c:numCache>
                <c:formatCode>General</c:formatCode>
                <c:ptCount val="14"/>
                <c:pt idx="0">
                  <c:v>1</c:v>
                </c:pt>
                <c:pt idx="1">
                  <c:v>4</c:v>
                </c:pt>
                <c:pt idx="2">
                  <c:v>6</c:v>
                </c:pt>
                <c:pt idx="3">
                  <c:v>6</c:v>
                </c:pt>
                <c:pt idx="4">
                  <c:v>6</c:v>
                </c:pt>
                <c:pt idx="5">
                  <c:v>6</c:v>
                </c:pt>
                <c:pt idx="6">
                  <c:v>6</c:v>
                </c:pt>
                <c:pt idx="7">
                  <c:v>6</c:v>
                </c:pt>
                <c:pt idx="8">
                  <c:v>6</c:v>
                </c:pt>
                <c:pt idx="9">
                  <c:v>4</c:v>
                </c:pt>
                <c:pt idx="10">
                  <c:v>1</c:v>
                </c:pt>
                <c:pt idx="11">
                  <c:v>0</c:v>
                </c:pt>
                <c:pt idx="12">
                  <c:v>9</c:v>
                </c:pt>
                <c:pt idx="13">
                  <c:v>0</c:v>
                </c:pt>
              </c:numCache>
            </c:numRef>
          </c:yVal>
          <c:smooth val="0"/>
          <c:extLst>
            <c:ext xmlns:c16="http://schemas.microsoft.com/office/drawing/2014/chart" uri="{C3380CC4-5D6E-409C-BE32-E72D297353CC}">
              <c16:uniqueId val="{00000003-1397-4F75-9FCE-DE7BCF6E41D0}"/>
            </c:ext>
          </c:extLst>
        </c:ser>
        <c:dLbls>
          <c:showLegendKey val="0"/>
          <c:showVal val="0"/>
          <c:showCatName val="0"/>
          <c:showSerName val="0"/>
          <c:showPercent val="0"/>
          <c:showBubbleSize val="0"/>
        </c:dLbls>
        <c:axId val="1180548960"/>
        <c:axId val="1180545600"/>
      </c:scatterChart>
      <c:valAx>
        <c:axId val="118054896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time (h)</a:t>
                </a:r>
                <a:endParaRPr lang="en-NL"/>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L"/>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180545600"/>
        <c:crosses val="autoZero"/>
        <c:crossBetween val="midCat"/>
      </c:valAx>
      <c:valAx>
        <c:axId val="118054560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Power</a:t>
                </a:r>
                <a:r>
                  <a:rPr lang="en-GB" baseline="0"/>
                  <a:t> (kW)</a:t>
                </a:r>
                <a:endParaRPr lang="en-NL"/>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L"/>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1805489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'Fermentation profile v_0.1'!$E$7</c:f>
              <c:strCache>
                <c:ptCount val="1"/>
                <c:pt idx="0">
                  <c:v>Agitation Power</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'Fermentation profile v_0.1'!$D$8:$D$21</c:f>
              <c:numCache>
                <c:formatCode>General</c:formatCode>
                <c:ptCount val="14"/>
                <c:pt idx="0">
                  <c:v>0</c:v>
                </c:pt>
                <c:pt idx="1">
                  <c:v>4</c:v>
                </c:pt>
                <c:pt idx="2">
                  <c:v>10</c:v>
                </c:pt>
                <c:pt idx="3">
                  <c:v>20</c:v>
                </c:pt>
                <c:pt idx="4">
                  <c:v>32</c:v>
                </c:pt>
                <c:pt idx="5">
                  <c:v>36</c:v>
                </c:pt>
                <c:pt idx="6">
                  <c:v>37</c:v>
                </c:pt>
                <c:pt idx="7">
                  <c:v>38</c:v>
                </c:pt>
                <c:pt idx="8">
                  <c:v>40</c:v>
                </c:pt>
                <c:pt idx="9">
                  <c:v>60</c:v>
                </c:pt>
                <c:pt idx="10">
                  <c:v>80</c:v>
                </c:pt>
                <c:pt idx="11">
                  <c:v>85</c:v>
                </c:pt>
                <c:pt idx="12">
                  <c:v>87</c:v>
                </c:pt>
                <c:pt idx="13">
                  <c:v>88</c:v>
                </c:pt>
              </c:numCache>
            </c:numRef>
          </c:xVal>
          <c:yVal>
            <c:numRef>
              <c:f>'Fermentation profile v_0.1'!$L$8:$L$21</c:f>
              <c:numCache>
                <c:formatCode>General</c:formatCode>
                <c:ptCount val="14"/>
                <c:pt idx="0">
                  <c:v>200</c:v>
                </c:pt>
                <c:pt idx="1">
                  <c:v>400</c:v>
                </c:pt>
                <c:pt idx="2">
                  <c:v>1600</c:v>
                </c:pt>
                <c:pt idx="3">
                  <c:v>2200</c:v>
                </c:pt>
                <c:pt idx="4">
                  <c:v>2280</c:v>
                </c:pt>
                <c:pt idx="5">
                  <c:v>2360</c:v>
                </c:pt>
                <c:pt idx="6">
                  <c:v>2400</c:v>
                </c:pt>
                <c:pt idx="7">
                  <c:v>2360</c:v>
                </c:pt>
                <c:pt idx="8">
                  <c:v>2320</c:v>
                </c:pt>
                <c:pt idx="9">
                  <c:v>2000</c:v>
                </c:pt>
                <c:pt idx="10">
                  <c:v>1000</c:v>
                </c:pt>
                <c:pt idx="11">
                  <c:v>200</c:v>
                </c:pt>
                <c:pt idx="12">
                  <c:v>0</c:v>
                </c:pt>
                <c:pt idx="13">
                  <c:v>0</c:v>
                </c:pt>
              </c:numCache>
            </c:numRef>
          </c:yVal>
          <c:smooth val="0"/>
          <c:extLst>
            <c:ext xmlns:c16="http://schemas.microsoft.com/office/drawing/2014/chart" uri="{C3380CC4-5D6E-409C-BE32-E72D297353CC}">
              <c16:uniqueId val="{00000000-F9EB-40C3-9EF1-8503DFC41782}"/>
            </c:ext>
          </c:extLst>
        </c:ser>
        <c:ser>
          <c:idx val="1"/>
          <c:order val="1"/>
          <c:tx>
            <c:strRef>
              <c:f>'Fermentation profile v_0.1'!$F$7</c:f>
              <c:strCache>
                <c:ptCount val="1"/>
                <c:pt idx="0">
                  <c:v>Sparging Power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'Fermentation profile v_0.1'!$D$8:$D$21</c:f>
              <c:numCache>
                <c:formatCode>General</c:formatCode>
                <c:ptCount val="14"/>
                <c:pt idx="0">
                  <c:v>0</c:v>
                </c:pt>
                <c:pt idx="1">
                  <c:v>4</c:v>
                </c:pt>
                <c:pt idx="2">
                  <c:v>10</c:v>
                </c:pt>
                <c:pt idx="3">
                  <c:v>20</c:v>
                </c:pt>
                <c:pt idx="4">
                  <c:v>32</c:v>
                </c:pt>
                <c:pt idx="5">
                  <c:v>36</c:v>
                </c:pt>
                <c:pt idx="6">
                  <c:v>37</c:v>
                </c:pt>
                <c:pt idx="7">
                  <c:v>38</c:v>
                </c:pt>
                <c:pt idx="8">
                  <c:v>40</c:v>
                </c:pt>
                <c:pt idx="9">
                  <c:v>60</c:v>
                </c:pt>
                <c:pt idx="10">
                  <c:v>80</c:v>
                </c:pt>
                <c:pt idx="11">
                  <c:v>85</c:v>
                </c:pt>
                <c:pt idx="12">
                  <c:v>87</c:v>
                </c:pt>
                <c:pt idx="13">
                  <c:v>88</c:v>
                </c:pt>
              </c:numCache>
            </c:numRef>
          </c:xVal>
          <c:yVal>
            <c:numRef>
              <c:f>'Fermentation profile v_0.1'!$M$8:$M$21</c:f>
              <c:numCache>
                <c:formatCode>General</c:formatCode>
                <c:ptCount val="14"/>
                <c:pt idx="0">
                  <c:v>0</c:v>
                </c:pt>
                <c:pt idx="1">
                  <c:v>0</c:v>
                </c:pt>
                <c:pt idx="2">
                  <c:v>680</c:v>
                </c:pt>
                <c:pt idx="3">
                  <c:v>720</c:v>
                </c:pt>
                <c:pt idx="4">
                  <c:v>720</c:v>
                </c:pt>
                <c:pt idx="5">
                  <c:v>640</c:v>
                </c:pt>
                <c:pt idx="6">
                  <c:v>600</c:v>
                </c:pt>
                <c:pt idx="7">
                  <c:v>560</c:v>
                </c:pt>
                <c:pt idx="8">
                  <c:v>520</c:v>
                </c:pt>
                <c:pt idx="9">
                  <c:v>400</c:v>
                </c:pt>
                <c:pt idx="10">
                  <c:v>320</c:v>
                </c:pt>
                <c:pt idx="11">
                  <c:v>0</c:v>
                </c:pt>
                <c:pt idx="12">
                  <c:v>0</c:v>
                </c:pt>
                <c:pt idx="13">
                  <c:v>0</c:v>
                </c:pt>
              </c:numCache>
            </c:numRef>
          </c:yVal>
          <c:smooth val="0"/>
          <c:extLst>
            <c:ext xmlns:c16="http://schemas.microsoft.com/office/drawing/2014/chart" uri="{C3380CC4-5D6E-409C-BE32-E72D297353CC}">
              <c16:uniqueId val="{00000001-F9EB-40C3-9EF1-8503DFC41782}"/>
            </c:ext>
          </c:extLst>
        </c:ser>
        <c:ser>
          <c:idx val="2"/>
          <c:order val="2"/>
          <c:tx>
            <c:strRef>
              <c:f>'Fermentation profile v_0.1'!$G$7</c:f>
              <c:strCache>
                <c:ptCount val="1"/>
                <c:pt idx="0">
                  <c:v>Cooling Power (including heating)</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'Fermentation profile v_0.1'!$D$8:$D$21</c:f>
              <c:numCache>
                <c:formatCode>General</c:formatCode>
                <c:ptCount val="14"/>
                <c:pt idx="0">
                  <c:v>0</c:v>
                </c:pt>
                <c:pt idx="1">
                  <c:v>4</c:v>
                </c:pt>
                <c:pt idx="2">
                  <c:v>10</c:v>
                </c:pt>
                <c:pt idx="3">
                  <c:v>20</c:v>
                </c:pt>
                <c:pt idx="4">
                  <c:v>32</c:v>
                </c:pt>
                <c:pt idx="5">
                  <c:v>36</c:v>
                </c:pt>
                <c:pt idx="6">
                  <c:v>37</c:v>
                </c:pt>
                <c:pt idx="7">
                  <c:v>38</c:v>
                </c:pt>
                <c:pt idx="8">
                  <c:v>40</c:v>
                </c:pt>
                <c:pt idx="9">
                  <c:v>60</c:v>
                </c:pt>
                <c:pt idx="10">
                  <c:v>80</c:v>
                </c:pt>
                <c:pt idx="11">
                  <c:v>85</c:v>
                </c:pt>
                <c:pt idx="12">
                  <c:v>87</c:v>
                </c:pt>
                <c:pt idx="13">
                  <c:v>88</c:v>
                </c:pt>
              </c:numCache>
            </c:numRef>
          </c:xVal>
          <c:yVal>
            <c:numRef>
              <c:f>'Fermentation profile v_0.1'!$N$8:$N$21</c:f>
              <c:numCache>
                <c:formatCode>General</c:formatCode>
                <c:ptCount val="14"/>
                <c:pt idx="0">
                  <c:v>200</c:v>
                </c:pt>
                <c:pt idx="1">
                  <c:v>320</c:v>
                </c:pt>
                <c:pt idx="2">
                  <c:v>1200</c:v>
                </c:pt>
                <c:pt idx="3">
                  <c:v>1280</c:v>
                </c:pt>
                <c:pt idx="4">
                  <c:v>1320</c:v>
                </c:pt>
                <c:pt idx="5">
                  <c:v>1280</c:v>
                </c:pt>
                <c:pt idx="6">
                  <c:v>1240</c:v>
                </c:pt>
                <c:pt idx="7">
                  <c:v>1200</c:v>
                </c:pt>
                <c:pt idx="8">
                  <c:v>1120</c:v>
                </c:pt>
                <c:pt idx="9">
                  <c:v>800</c:v>
                </c:pt>
                <c:pt idx="10">
                  <c:v>720</c:v>
                </c:pt>
                <c:pt idx="11">
                  <c:v>200</c:v>
                </c:pt>
                <c:pt idx="12">
                  <c:v>1200</c:v>
                </c:pt>
                <c:pt idx="13">
                  <c:v>200</c:v>
                </c:pt>
              </c:numCache>
            </c:numRef>
          </c:yVal>
          <c:smooth val="0"/>
          <c:extLst>
            <c:ext xmlns:c16="http://schemas.microsoft.com/office/drawing/2014/chart" uri="{C3380CC4-5D6E-409C-BE32-E72D297353CC}">
              <c16:uniqueId val="{00000002-F9EB-40C3-9EF1-8503DFC41782}"/>
            </c:ext>
          </c:extLst>
        </c:ser>
        <c:ser>
          <c:idx val="3"/>
          <c:order val="3"/>
          <c:tx>
            <c:strRef>
              <c:f>'Fermentation profile v_0.1'!$H$7</c:f>
              <c:strCache>
                <c:ptCount val="1"/>
                <c:pt idx="0">
                  <c:v>Circulation pump</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'Fermentation profile v_0.1'!$D$8:$D$21</c:f>
              <c:numCache>
                <c:formatCode>General</c:formatCode>
                <c:ptCount val="14"/>
                <c:pt idx="0">
                  <c:v>0</c:v>
                </c:pt>
                <c:pt idx="1">
                  <c:v>4</c:v>
                </c:pt>
                <c:pt idx="2">
                  <c:v>10</c:v>
                </c:pt>
                <c:pt idx="3">
                  <c:v>20</c:v>
                </c:pt>
                <c:pt idx="4">
                  <c:v>32</c:v>
                </c:pt>
                <c:pt idx="5">
                  <c:v>36</c:v>
                </c:pt>
                <c:pt idx="6">
                  <c:v>37</c:v>
                </c:pt>
                <c:pt idx="7">
                  <c:v>38</c:v>
                </c:pt>
                <c:pt idx="8">
                  <c:v>40</c:v>
                </c:pt>
                <c:pt idx="9">
                  <c:v>60</c:v>
                </c:pt>
                <c:pt idx="10">
                  <c:v>80</c:v>
                </c:pt>
                <c:pt idx="11">
                  <c:v>85</c:v>
                </c:pt>
                <c:pt idx="12">
                  <c:v>87</c:v>
                </c:pt>
                <c:pt idx="13">
                  <c:v>88</c:v>
                </c:pt>
              </c:numCache>
            </c:numRef>
          </c:xVal>
          <c:yVal>
            <c:numRef>
              <c:f>'Fermentation profile v_0.1'!$O$8:$O$21</c:f>
              <c:numCache>
                <c:formatCode>General</c:formatCode>
                <c:ptCount val="14"/>
                <c:pt idx="0">
                  <c:v>40</c:v>
                </c:pt>
                <c:pt idx="1">
                  <c:v>160</c:v>
                </c:pt>
                <c:pt idx="2">
                  <c:v>240</c:v>
                </c:pt>
                <c:pt idx="3">
                  <c:v>240</c:v>
                </c:pt>
                <c:pt idx="4">
                  <c:v>240</c:v>
                </c:pt>
                <c:pt idx="5">
                  <c:v>240</c:v>
                </c:pt>
                <c:pt idx="6">
                  <c:v>240</c:v>
                </c:pt>
                <c:pt idx="7">
                  <c:v>240</c:v>
                </c:pt>
                <c:pt idx="8">
                  <c:v>240</c:v>
                </c:pt>
                <c:pt idx="9">
                  <c:v>160</c:v>
                </c:pt>
                <c:pt idx="10">
                  <c:v>40</c:v>
                </c:pt>
                <c:pt idx="11">
                  <c:v>0</c:v>
                </c:pt>
                <c:pt idx="12">
                  <c:v>360</c:v>
                </c:pt>
                <c:pt idx="13">
                  <c:v>0</c:v>
                </c:pt>
              </c:numCache>
            </c:numRef>
          </c:yVal>
          <c:smooth val="0"/>
          <c:extLst>
            <c:ext xmlns:c16="http://schemas.microsoft.com/office/drawing/2014/chart" uri="{C3380CC4-5D6E-409C-BE32-E72D297353CC}">
              <c16:uniqueId val="{00000003-F9EB-40C3-9EF1-8503DFC41782}"/>
            </c:ext>
          </c:extLst>
        </c:ser>
        <c:ser>
          <c:idx val="4"/>
          <c:order val="4"/>
          <c:tx>
            <c:strRef>
              <c:f>'Fermentation profile v_0.1'!$P$7</c:f>
              <c:strCache>
                <c:ptCount val="1"/>
                <c:pt idx="0">
                  <c:v>Sum</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'Fermentation profile v_0.1'!$K$8:$K$21</c:f>
              <c:numCache>
                <c:formatCode>General</c:formatCode>
                <c:ptCount val="14"/>
                <c:pt idx="0">
                  <c:v>0</c:v>
                </c:pt>
                <c:pt idx="1">
                  <c:v>4</c:v>
                </c:pt>
                <c:pt idx="2">
                  <c:v>10</c:v>
                </c:pt>
                <c:pt idx="3">
                  <c:v>20</c:v>
                </c:pt>
                <c:pt idx="4">
                  <c:v>32</c:v>
                </c:pt>
                <c:pt idx="5">
                  <c:v>36</c:v>
                </c:pt>
                <c:pt idx="6">
                  <c:v>37</c:v>
                </c:pt>
                <c:pt idx="7">
                  <c:v>38</c:v>
                </c:pt>
                <c:pt idx="8">
                  <c:v>40</c:v>
                </c:pt>
                <c:pt idx="9">
                  <c:v>60</c:v>
                </c:pt>
                <c:pt idx="10">
                  <c:v>80</c:v>
                </c:pt>
                <c:pt idx="11">
                  <c:v>85</c:v>
                </c:pt>
                <c:pt idx="12">
                  <c:v>87</c:v>
                </c:pt>
                <c:pt idx="13">
                  <c:v>88</c:v>
                </c:pt>
              </c:numCache>
            </c:numRef>
          </c:xVal>
          <c:yVal>
            <c:numRef>
              <c:f>'Fermentation profile v_0.1'!$P$8:$P$21</c:f>
              <c:numCache>
                <c:formatCode>General</c:formatCode>
                <c:ptCount val="14"/>
                <c:pt idx="0">
                  <c:v>440</c:v>
                </c:pt>
                <c:pt idx="1">
                  <c:v>880</c:v>
                </c:pt>
                <c:pt idx="2">
                  <c:v>3720</c:v>
                </c:pt>
                <c:pt idx="3">
                  <c:v>4440</c:v>
                </c:pt>
                <c:pt idx="4">
                  <c:v>4560</c:v>
                </c:pt>
                <c:pt idx="5">
                  <c:v>4520</c:v>
                </c:pt>
                <c:pt idx="6">
                  <c:v>4480</c:v>
                </c:pt>
                <c:pt idx="7">
                  <c:v>4360</c:v>
                </c:pt>
                <c:pt idx="8">
                  <c:v>4200</c:v>
                </c:pt>
                <c:pt idx="9">
                  <c:v>3360</c:v>
                </c:pt>
                <c:pt idx="10">
                  <c:v>2080</c:v>
                </c:pt>
                <c:pt idx="11">
                  <c:v>400</c:v>
                </c:pt>
                <c:pt idx="12">
                  <c:v>1560</c:v>
                </c:pt>
                <c:pt idx="13">
                  <c:v>200</c:v>
                </c:pt>
              </c:numCache>
            </c:numRef>
          </c:yVal>
          <c:smooth val="0"/>
          <c:extLst>
            <c:ext xmlns:c16="http://schemas.microsoft.com/office/drawing/2014/chart" uri="{C3380CC4-5D6E-409C-BE32-E72D297353CC}">
              <c16:uniqueId val="{00000004-F9EB-40C3-9EF1-8503DFC41782}"/>
            </c:ext>
          </c:extLst>
        </c:ser>
        <c:dLbls>
          <c:showLegendKey val="0"/>
          <c:showVal val="0"/>
          <c:showCatName val="0"/>
          <c:showSerName val="0"/>
          <c:showPercent val="0"/>
          <c:showBubbleSize val="0"/>
        </c:dLbls>
        <c:axId val="1180548960"/>
        <c:axId val="1180545600"/>
      </c:scatterChart>
      <c:valAx>
        <c:axId val="118054896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time (h)</a:t>
                </a:r>
                <a:endParaRPr lang="en-NL"/>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L"/>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180545600"/>
        <c:crosses val="autoZero"/>
        <c:crossBetween val="midCat"/>
      </c:valAx>
      <c:valAx>
        <c:axId val="118054560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Power</a:t>
                </a:r>
                <a:r>
                  <a:rPr lang="en-GB" baseline="0"/>
                  <a:t> (kW)</a:t>
                </a:r>
                <a:endParaRPr lang="en-NL"/>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L"/>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1805489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19957</xdr:colOff>
      <xdr:row>12</xdr:row>
      <xdr:rowOff>156029</xdr:rowOff>
    </xdr:from>
    <xdr:to>
      <xdr:col>3</xdr:col>
      <xdr:colOff>381907</xdr:colOff>
      <xdr:row>27</xdr:row>
      <xdr:rowOff>141514</xdr:rowOff>
    </xdr:to>
    <xdr:graphicFrame macro="">
      <xdr:nvGraphicFramePr>
        <xdr:cNvPr id="2" name="Chart 1">
          <a:extLst>
            <a:ext uri="{FF2B5EF4-FFF2-40B4-BE49-F238E27FC236}">
              <a16:creationId xmlns:a16="http://schemas.microsoft.com/office/drawing/2014/main" id="{3F35E718-39A5-AF37-9F9E-660ADD82C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243167</xdr:colOff>
      <xdr:row>6</xdr:row>
      <xdr:rowOff>532840</xdr:rowOff>
    </xdr:from>
    <xdr:to>
      <xdr:col>25</xdr:col>
      <xdr:colOff>243168</xdr:colOff>
      <xdr:row>21</xdr:row>
      <xdr:rowOff>159737</xdr:rowOff>
    </xdr:to>
    <xdr:graphicFrame macro="">
      <xdr:nvGraphicFramePr>
        <xdr:cNvPr id="4" name="Chart 1">
          <a:extLst>
            <a:ext uri="{FF2B5EF4-FFF2-40B4-BE49-F238E27FC236}">
              <a16:creationId xmlns:a16="http://schemas.microsoft.com/office/drawing/2014/main" id="{1ACB5055-1A38-4B58-9D52-6FA6D4B9E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609600</xdr:colOff>
      <xdr:row>1</xdr:row>
      <xdr:rowOff>57150</xdr:rowOff>
    </xdr:from>
    <xdr:to>
      <xdr:col>13</xdr:col>
      <xdr:colOff>59865</xdr:colOff>
      <xdr:row>14</xdr:row>
      <xdr:rowOff>122555</xdr:rowOff>
    </xdr:to>
    <xdr:pic>
      <xdr:nvPicPr>
        <xdr:cNvPr id="2" name="Picture 1">
          <a:extLst>
            <a:ext uri="{FF2B5EF4-FFF2-40B4-BE49-F238E27FC236}">
              <a16:creationId xmlns:a16="http://schemas.microsoft.com/office/drawing/2014/main" id="{5719BBEC-7F2D-4722-8A6E-D92940545BBD}"/>
            </a:ext>
          </a:extLst>
        </xdr:cNvPr>
        <xdr:cNvPicPr>
          <a:picLocks noChangeAspect="1"/>
        </xdr:cNvPicPr>
      </xdr:nvPicPr>
      <xdr:blipFill>
        <a:blip xmlns:r="http://schemas.openxmlformats.org/officeDocument/2006/relationships" r:embed="rId1"/>
        <a:stretch>
          <a:fillRect/>
        </a:stretch>
      </xdr:blipFill>
      <xdr:spPr>
        <a:xfrm>
          <a:off x="3225800" y="241300"/>
          <a:ext cx="5341250" cy="430357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DEEA5-7B44-4742-9D11-D36336C1406F}">
  <dimension ref="A1:W49"/>
  <sheetViews>
    <sheetView tabSelected="1" topLeftCell="I6" zoomScale="70" zoomScaleNormal="70" workbookViewId="0">
      <selection activeCell="K11" sqref="K11"/>
    </sheetView>
  </sheetViews>
  <sheetFormatPr defaultRowHeight="15" x14ac:dyDescent="0.25"/>
  <cols>
    <col min="1" max="1" width="21.140625" customWidth="1"/>
    <col min="2" max="2" width="14.7109375" customWidth="1"/>
    <col min="3" max="3" width="23.5703125" customWidth="1"/>
    <col min="7" max="7" width="16.42578125" customWidth="1"/>
    <col min="12" max="12" width="15.42578125" bestFit="1" customWidth="1"/>
    <col min="13" max="13" width="14.85546875" bestFit="1" customWidth="1"/>
    <col min="14" max="14" width="31.7109375" bestFit="1" customWidth="1"/>
    <col min="15" max="15" width="16.28515625" bestFit="1" customWidth="1"/>
  </cols>
  <sheetData>
    <row r="1" spans="1:23" x14ac:dyDescent="0.25">
      <c r="A1" t="s">
        <v>34</v>
      </c>
    </row>
    <row r="2" spans="1:23" x14ac:dyDescent="0.25">
      <c r="A2" t="s">
        <v>7</v>
      </c>
    </row>
    <row r="3" spans="1:23" x14ac:dyDescent="0.25">
      <c r="A3" t="s">
        <v>8</v>
      </c>
    </row>
    <row r="4" spans="1:23" x14ac:dyDescent="0.25">
      <c r="A4" t="s">
        <v>35</v>
      </c>
    </row>
    <row r="5" spans="1:23" x14ac:dyDescent="0.25">
      <c r="A5" t="s">
        <v>33</v>
      </c>
    </row>
    <row r="6" spans="1:23" ht="30" x14ac:dyDescent="0.25">
      <c r="A6" s="1" t="s">
        <v>19</v>
      </c>
      <c r="B6" s="1" t="s">
        <v>20</v>
      </c>
      <c r="C6" s="1" t="s">
        <v>9</v>
      </c>
      <c r="E6" s="1" t="s">
        <v>32</v>
      </c>
      <c r="L6" t="str">
        <f>E6</f>
        <v>power in kW</v>
      </c>
      <c r="M6" s="2" t="s">
        <v>36</v>
      </c>
      <c r="N6">
        <v>40</v>
      </c>
    </row>
    <row r="7" spans="1:23" ht="45" x14ac:dyDescent="0.25">
      <c r="A7" s="3" t="s">
        <v>21</v>
      </c>
      <c r="B7" s="3" t="s">
        <v>22</v>
      </c>
      <c r="C7" s="3" t="s">
        <v>14</v>
      </c>
      <c r="D7" s="1" t="s">
        <v>31</v>
      </c>
      <c r="E7" s="1" t="s">
        <v>10</v>
      </c>
      <c r="F7" s="1" t="s">
        <v>11</v>
      </c>
      <c r="G7" s="1" t="s">
        <v>12</v>
      </c>
      <c r="H7" s="2" t="s">
        <v>13</v>
      </c>
      <c r="K7" t="str">
        <f t="shared" ref="K7:K22" si="0">D7</f>
        <v>time (h)</v>
      </c>
      <c r="L7" t="str">
        <f t="shared" ref="L7:O7" si="1">E7</f>
        <v>Agitation Power</v>
      </c>
      <c r="M7" t="str">
        <f t="shared" si="1"/>
        <v>Sparging Power</v>
      </c>
      <c r="N7" t="str">
        <f t="shared" si="1"/>
        <v>Cooling Power (including heating)</v>
      </c>
      <c r="O7" t="str">
        <f t="shared" si="1"/>
        <v>Circulation pump</v>
      </c>
      <c r="P7" t="s">
        <v>37</v>
      </c>
    </row>
    <row r="8" spans="1:23" ht="30" x14ac:dyDescent="0.25">
      <c r="A8" s="3" t="s">
        <v>23</v>
      </c>
      <c r="B8" s="3" t="s">
        <v>24</v>
      </c>
      <c r="C8" s="3" t="s">
        <v>15</v>
      </c>
      <c r="D8">
        <v>0</v>
      </c>
      <c r="E8">
        <v>5</v>
      </c>
      <c r="F8">
        <v>0</v>
      </c>
      <c r="G8">
        <v>5</v>
      </c>
      <c r="H8">
        <v>1</v>
      </c>
      <c r="I8">
        <f>SUM(E8:H8)</f>
        <v>11</v>
      </c>
      <c r="K8">
        <f t="shared" si="0"/>
        <v>0</v>
      </c>
      <c r="L8">
        <f>E8*T8</f>
        <v>200</v>
      </c>
      <c r="M8">
        <f>F8*U8</f>
        <v>0</v>
      </c>
      <c r="N8">
        <f>G8*V8</f>
        <v>200</v>
      </c>
      <c r="O8">
        <f>H8*W8</f>
        <v>40</v>
      </c>
      <c r="P8">
        <f>SUM(L8:O8)</f>
        <v>440</v>
      </c>
      <c r="T8">
        <f>N6</f>
        <v>40</v>
      </c>
      <c r="U8">
        <f>T8</f>
        <v>40</v>
      </c>
      <c r="V8">
        <f>U8</f>
        <v>40</v>
      </c>
      <c r="W8">
        <f>V8</f>
        <v>40</v>
      </c>
    </row>
    <row r="9" spans="1:23" ht="30" x14ac:dyDescent="0.25">
      <c r="A9" s="3" t="s">
        <v>25</v>
      </c>
      <c r="B9" s="3" t="s">
        <v>26</v>
      </c>
      <c r="C9" s="4" t="s">
        <v>16</v>
      </c>
      <c r="D9">
        <v>4</v>
      </c>
      <c r="E9">
        <v>10</v>
      </c>
      <c r="F9">
        <v>0</v>
      </c>
      <c r="G9">
        <v>8</v>
      </c>
      <c r="H9">
        <v>4</v>
      </c>
      <c r="I9">
        <f t="shared" ref="I9:I22" si="2">SUM(E9:H9)</f>
        <v>22</v>
      </c>
      <c r="K9">
        <f t="shared" si="0"/>
        <v>4</v>
      </c>
      <c r="L9">
        <f t="shared" ref="L9:L22" si="3">E9*T9</f>
        <v>400</v>
      </c>
      <c r="M9">
        <f t="shared" ref="M9:M22" si="4">F9*U9</f>
        <v>0</v>
      </c>
      <c r="N9">
        <f t="shared" ref="N9:N22" si="5">G9*V9</f>
        <v>320</v>
      </c>
      <c r="O9">
        <f t="shared" ref="O9:O22" si="6">H9*W9</f>
        <v>160</v>
      </c>
      <c r="P9">
        <f t="shared" ref="P9:P22" si="7">SUM(L9:O9)</f>
        <v>880</v>
      </c>
      <c r="T9">
        <f>N6</f>
        <v>40</v>
      </c>
      <c r="U9">
        <f t="shared" ref="U9:W22" si="8">T9</f>
        <v>40</v>
      </c>
      <c r="V9">
        <f t="shared" si="8"/>
        <v>40</v>
      </c>
      <c r="W9">
        <f t="shared" si="8"/>
        <v>40</v>
      </c>
    </row>
    <row r="10" spans="1:23" ht="30" x14ac:dyDescent="0.25">
      <c r="A10" s="3" t="s">
        <v>27</v>
      </c>
      <c r="B10" s="3" t="s">
        <v>28</v>
      </c>
      <c r="C10" s="3" t="s">
        <v>17</v>
      </c>
      <c r="D10">
        <v>10</v>
      </c>
      <c r="E10">
        <v>40</v>
      </c>
      <c r="F10">
        <v>17</v>
      </c>
      <c r="G10">
        <v>30</v>
      </c>
      <c r="H10">
        <v>6</v>
      </c>
      <c r="I10">
        <f t="shared" si="2"/>
        <v>93</v>
      </c>
      <c r="K10">
        <f t="shared" si="0"/>
        <v>10</v>
      </c>
      <c r="L10">
        <f t="shared" si="3"/>
        <v>1600</v>
      </c>
      <c r="M10">
        <f t="shared" si="4"/>
        <v>680</v>
      </c>
      <c r="N10">
        <f t="shared" si="5"/>
        <v>1200</v>
      </c>
      <c r="O10">
        <f t="shared" si="6"/>
        <v>240</v>
      </c>
      <c r="P10">
        <f t="shared" si="7"/>
        <v>3720</v>
      </c>
      <c r="T10">
        <f>N6</f>
        <v>40</v>
      </c>
      <c r="U10">
        <f t="shared" si="8"/>
        <v>40</v>
      </c>
      <c r="V10">
        <f t="shared" si="8"/>
        <v>40</v>
      </c>
      <c r="W10">
        <f t="shared" si="8"/>
        <v>40</v>
      </c>
    </row>
    <row r="11" spans="1:23" ht="30" x14ac:dyDescent="0.25">
      <c r="A11" s="3" t="s">
        <v>29</v>
      </c>
      <c r="B11" s="3" t="s">
        <v>30</v>
      </c>
      <c r="C11" s="3" t="s">
        <v>18</v>
      </c>
      <c r="D11">
        <v>20</v>
      </c>
      <c r="E11">
        <v>55</v>
      </c>
      <c r="F11">
        <v>18</v>
      </c>
      <c r="G11">
        <v>32</v>
      </c>
      <c r="H11">
        <v>6</v>
      </c>
      <c r="I11">
        <f t="shared" si="2"/>
        <v>111</v>
      </c>
      <c r="K11">
        <f t="shared" si="0"/>
        <v>20</v>
      </c>
      <c r="L11">
        <f t="shared" si="3"/>
        <v>2200</v>
      </c>
      <c r="M11">
        <f t="shared" si="4"/>
        <v>720</v>
      </c>
      <c r="N11">
        <f t="shared" si="5"/>
        <v>1280</v>
      </c>
      <c r="O11">
        <f t="shared" si="6"/>
        <v>240</v>
      </c>
      <c r="P11">
        <f t="shared" si="7"/>
        <v>4440</v>
      </c>
      <c r="T11">
        <f>N6</f>
        <v>40</v>
      </c>
      <c r="U11">
        <f t="shared" si="8"/>
        <v>40</v>
      </c>
      <c r="V11">
        <f t="shared" si="8"/>
        <v>40</v>
      </c>
      <c r="W11">
        <f t="shared" si="8"/>
        <v>40</v>
      </c>
    </row>
    <row r="12" spans="1:23" x14ac:dyDescent="0.25">
      <c r="A12" s="3"/>
      <c r="D12">
        <v>32</v>
      </c>
      <c r="E12">
        <v>57</v>
      </c>
      <c r="F12">
        <v>18</v>
      </c>
      <c r="G12">
        <v>33</v>
      </c>
      <c r="H12">
        <v>6</v>
      </c>
      <c r="I12">
        <f t="shared" si="2"/>
        <v>114</v>
      </c>
      <c r="K12">
        <f t="shared" si="0"/>
        <v>32</v>
      </c>
      <c r="L12">
        <f t="shared" si="3"/>
        <v>2280</v>
      </c>
      <c r="M12">
        <f t="shared" si="4"/>
        <v>720</v>
      </c>
      <c r="N12">
        <f t="shared" si="5"/>
        <v>1320</v>
      </c>
      <c r="O12">
        <f t="shared" si="6"/>
        <v>240</v>
      </c>
      <c r="P12">
        <f t="shared" si="7"/>
        <v>4560</v>
      </c>
      <c r="T12">
        <f>N6</f>
        <v>40</v>
      </c>
      <c r="U12">
        <f t="shared" si="8"/>
        <v>40</v>
      </c>
      <c r="V12">
        <f t="shared" si="8"/>
        <v>40</v>
      </c>
      <c r="W12">
        <f t="shared" si="8"/>
        <v>40</v>
      </c>
    </row>
    <row r="13" spans="1:23" x14ac:dyDescent="0.25">
      <c r="D13">
        <v>36</v>
      </c>
      <c r="E13">
        <v>59</v>
      </c>
      <c r="F13">
        <v>16</v>
      </c>
      <c r="G13">
        <v>32</v>
      </c>
      <c r="H13">
        <v>6</v>
      </c>
      <c r="I13">
        <f t="shared" si="2"/>
        <v>113</v>
      </c>
      <c r="K13">
        <f t="shared" si="0"/>
        <v>36</v>
      </c>
      <c r="L13">
        <f t="shared" si="3"/>
        <v>2360</v>
      </c>
      <c r="M13">
        <f t="shared" si="4"/>
        <v>640</v>
      </c>
      <c r="N13">
        <f t="shared" si="5"/>
        <v>1280</v>
      </c>
      <c r="O13">
        <f t="shared" si="6"/>
        <v>240</v>
      </c>
      <c r="P13">
        <f t="shared" si="7"/>
        <v>4520</v>
      </c>
      <c r="T13">
        <f>N6</f>
        <v>40</v>
      </c>
      <c r="U13">
        <f t="shared" si="8"/>
        <v>40</v>
      </c>
      <c r="V13">
        <f t="shared" si="8"/>
        <v>40</v>
      </c>
      <c r="W13">
        <f t="shared" si="8"/>
        <v>40</v>
      </c>
    </row>
    <row r="14" spans="1:23" x14ac:dyDescent="0.25">
      <c r="D14">
        <v>37</v>
      </c>
      <c r="E14">
        <v>60</v>
      </c>
      <c r="F14">
        <v>15</v>
      </c>
      <c r="G14">
        <v>31</v>
      </c>
      <c r="H14">
        <v>6</v>
      </c>
      <c r="I14">
        <f t="shared" si="2"/>
        <v>112</v>
      </c>
      <c r="K14">
        <f t="shared" si="0"/>
        <v>37</v>
      </c>
      <c r="L14">
        <f t="shared" si="3"/>
        <v>2400</v>
      </c>
      <c r="M14">
        <f t="shared" si="4"/>
        <v>600</v>
      </c>
      <c r="N14">
        <f t="shared" si="5"/>
        <v>1240</v>
      </c>
      <c r="O14">
        <f t="shared" si="6"/>
        <v>240</v>
      </c>
      <c r="P14">
        <f t="shared" si="7"/>
        <v>4480</v>
      </c>
      <c r="T14">
        <f>N6</f>
        <v>40</v>
      </c>
      <c r="U14">
        <f t="shared" si="8"/>
        <v>40</v>
      </c>
      <c r="V14">
        <f t="shared" si="8"/>
        <v>40</v>
      </c>
      <c r="W14">
        <f t="shared" si="8"/>
        <v>40</v>
      </c>
    </row>
    <row r="15" spans="1:23" x14ac:dyDescent="0.25">
      <c r="D15">
        <v>38</v>
      </c>
      <c r="E15">
        <v>59</v>
      </c>
      <c r="F15">
        <v>14</v>
      </c>
      <c r="G15">
        <v>30</v>
      </c>
      <c r="H15">
        <v>6</v>
      </c>
      <c r="I15">
        <f t="shared" si="2"/>
        <v>109</v>
      </c>
      <c r="K15">
        <f t="shared" si="0"/>
        <v>38</v>
      </c>
      <c r="L15">
        <f t="shared" si="3"/>
        <v>2360</v>
      </c>
      <c r="M15">
        <f t="shared" si="4"/>
        <v>560</v>
      </c>
      <c r="N15">
        <f t="shared" si="5"/>
        <v>1200</v>
      </c>
      <c r="O15">
        <f t="shared" si="6"/>
        <v>240</v>
      </c>
      <c r="P15">
        <f t="shared" si="7"/>
        <v>4360</v>
      </c>
      <c r="T15">
        <f>N6</f>
        <v>40</v>
      </c>
      <c r="U15">
        <f t="shared" si="8"/>
        <v>40</v>
      </c>
      <c r="V15">
        <f t="shared" si="8"/>
        <v>40</v>
      </c>
      <c r="W15">
        <f t="shared" si="8"/>
        <v>40</v>
      </c>
    </row>
    <row r="16" spans="1:23" x14ac:dyDescent="0.25">
      <c r="D16">
        <v>40</v>
      </c>
      <c r="E16">
        <v>58</v>
      </c>
      <c r="F16">
        <v>13</v>
      </c>
      <c r="G16">
        <v>28</v>
      </c>
      <c r="H16">
        <v>6</v>
      </c>
      <c r="I16">
        <f t="shared" si="2"/>
        <v>105</v>
      </c>
      <c r="K16">
        <f t="shared" si="0"/>
        <v>40</v>
      </c>
      <c r="L16">
        <f t="shared" si="3"/>
        <v>2320</v>
      </c>
      <c r="M16">
        <f t="shared" si="4"/>
        <v>520</v>
      </c>
      <c r="N16">
        <f t="shared" si="5"/>
        <v>1120</v>
      </c>
      <c r="O16">
        <f t="shared" si="6"/>
        <v>240</v>
      </c>
      <c r="P16">
        <f t="shared" si="7"/>
        <v>4200</v>
      </c>
      <c r="T16">
        <f>N6</f>
        <v>40</v>
      </c>
      <c r="U16">
        <f t="shared" si="8"/>
        <v>40</v>
      </c>
      <c r="V16">
        <f t="shared" si="8"/>
        <v>40</v>
      </c>
      <c r="W16">
        <f t="shared" si="8"/>
        <v>40</v>
      </c>
    </row>
    <row r="17" spans="4:23" x14ac:dyDescent="0.25">
      <c r="D17">
        <v>60</v>
      </c>
      <c r="E17">
        <v>50</v>
      </c>
      <c r="F17">
        <v>10</v>
      </c>
      <c r="G17">
        <v>20</v>
      </c>
      <c r="H17">
        <v>4</v>
      </c>
      <c r="I17">
        <f t="shared" si="2"/>
        <v>84</v>
      </c>
      <c r="K17">
        <f t="shared" si="0"/>
        <v>60</v>
      </c>
      <c r="L17">
        <f t="shared" si="3"/>
        <v>2000</v>
      </c>
      <c r="M17">
        <f t="shared" si="4"/>
        <v>400</v>
      </c>
      <c r="N17">
        <f t="shared" si="5"/>
        <v>800</v>
      </c>
      <c r="O17">
        <f t="shared" si="6"/>
        <v>160</v>
      </c>
      <c r="P17">
        <f t="shared" si="7"/>
        <v>3360</v>
      </c>
      <c r="T17">
        <f>N6</f>
        <v>40</v>
      </c>
      <c r="U17">
        <f t="shared" si="8"/>
        <v>40</v>
      </c>
      <c r="V17">
        <f t="shared" si="8"/>
        <v>40</v>
      </c>
      <c r="W17">
        <f t="shared" si="8"/>
        <v>40</v>
      </c>
    </row>
    <row r="18" spans="4:23" x14ac:dyDescent="0.25">
      <c r="D18">
        <v>80</v>
      </c>
      <c r="E18">
        <v>25</v>
      </c>
      <c r="F18">
        <v>8</v>
      </c>
      <c r="G18">
        <v>18</v>
      </c>
      <c r="H18">
        <v>1</v>
      </c>
      <c r="I18">
        <f t="shared" si="2"/>
        <v>52</v>
      </c>
      <c r="K18">
        <f t="shared" si="0"/>
        <v>80</v>
      </c>
      <c r="L18">
        <f t="shared" si="3"/>
        <v>1000</v>
      </c>
      <c r="M18">
        <f t="shared" si="4"/>
        <v>320</v>
      </c>
      <c r="N18">
        <f t="shared" si="5"/>
        <v>720</v>
      </c>
      <c r="O18">
        <f t="shared" si="6"/>
        <v>40</v>
      </c>
      <c r="P18">
        <f t="shared" si="7"/>
        <v>2080</v>
      </c>
      <c r="T18">
        <f>N6</f>
        <v>40</v>
      </c>
      <c r="U18">
        <f t="shared" si="8"/>
        <v>40</v>
      </c>
      <c r="V18">
        <f t="shared" si="8"/>
        <v>40</v>
      </c>
      <c r="W18">
        <f t="shared" si="8"/>
        <v>40</v>
      </c>
    </row>
    <row r="19" spans="4:23" x14ac:dyDescent="0.25">
      <c r="D19">
        <v>85</v>
      </c>
      <c r="E19">
        <v>5</v>
      </c>
      <c r="F19">
        <v>0</v>
      </c>
      <c r="G19">
        <v>5</v>
      </c>
      <c r="H19">
        <v>0</v>
      </c>
      <c r="I19">
        <f t="shared" si="2"/>
        <v>10</v>
      </c>
      <c r="K19">
        <f t="shared" si="0"/>
        <v>85</v>
      </c>
      <c r="L19">
        <f t="shared" si="3"/>
        <v>200</v>
      </c>
      <c r="M19">
        <f t="shared" si="4"/>
        <v>0</v>
      </c>
      <c r="N19">
        <f t="shared" si="5"/>
        <v>200</v>
      </c>
      <c r="O19">
        <f t="shared" si="6"/>
        <v>0</v>
      </c>
      <c r="P19">
        <f t="shared" si="7"/>
        <v>400</v>
      </c>
      <c r="T19">
        <f>N6</f>
        <v>40</v>
      </c>
      <c r="U19">
        <f t="shared" si="8"/>
        <v>40</v>
      </c>
      <c r="V19">
        <f t="shared" si="8"/>
        <v>40</v>
      </c>
      <c r="W19">
        <f t="shared" si="8"/>
        <v>40</v>
      </c>
    </row>
    <row r="20" spans="4:23" x14ac:dyDescent="0.25">
      <c r="D20">
        <v>87</v>
      </c>
      <c r="E20">
        <v>0</v>
      </c>
      <c r="F20">
        <v>0</v>
      </c>
      <c r="G20">
        <v>30</v>
      </c>
      <c r="H20">
        <v>9</v>
      </c>
      <c r="I20">
        <f t="shared" si="2"/>
        <v>39</v>
      </c>
      <c r="K20">
        <f t="shared" si="0"/>
        <v>87</v>
      </c>
      <c r="L20">
        <f t="shared" si="3"/>
        <v>0</v>
      </c>
      <c r="M20">
        <f t="shared" si="4"/>
        <v>0</v>
      </c>
      <c r="N20">
        <f t="shared" si="5"/>
        <v>1200</v>
      </c>
      <c r="O20">
        <f t="shared" si="6"/>
        <v>360</v>
      </c>
      <c r="P20">
        <f t="shared" si="7"/>
        <v>1560</v>
      </c>
      <c r="T20">
        <f>N6</f>
        <v>40</v>
      </c>
      <c r="U20">
        <f t="shared" si="8"/>
        <v>40</v>
      </c>
      <c r="V20">
        <f t="shared" si="8"/>
        <v>40</v>
      </c>
      <c r="W20">
        <f t="shared" si="8"/>
        <v>40</v>
      </c>
    </row>
    <row r="21" spans="4:23" x14ac:dyDescent="0.25">
      <c r="D21">
        <v>88</v>
      </c>
      <c r="E21">
        <v>0</v>
      </c>
      <c r="F21">
        <v>0</v>
      </c>
      <c r="G21">
        <v>5</v>
      </c>
      <c r="H21">
        <v>0</v>
      </c>
      <c r="I21">
        <f t="shared" si="2"/>
        <v>5</v>
      </c>
      <c r="K21">
        <f t="shared" si="0"/>
        <v>88</v>
      </c>
      <c r="L21">
        <f t="shared" si="3"/>
        <v>0</v>
      </c>
      <c r="M21">
        <f t="shared" si="4"/>
        <v>0</v>
      </c>
      <c r="N21">
        <f t="shared" si="5"/>
        <v>200</v>
      </c>
      <c r="O21">
        <f t="shared" si="6"/>
        <v>0</v>
      </c>
      <c r="P21">
        <f t="shared" si="7"/>
        <v>200</v>
      </c>
      <c r="T21">
        <f>N6</f>
        <v>40</v>
      </c>
      <c r="U21">
        <f t="shared" si="8"/>
        <v>40</v>
      </c>
      <c r="V21">
        <f t="shared" si="8"/>
        <v>40</v>
      </c>
      <c r="W21">
        <f t="shared" si="8"/>
        <v>40</v>
      </c>
    </row>
    <row r="22" spans="4:23" x14ac:dyDescent="0.25">
      <c r="D22">
        <v>90</v>
      </c>
      <c r="E22">
        <v>0</v>
      </c>
      <c r="F22">
        <v>0</v>
      </c>
      <c r="G22">
        <v>0</v>
      </c>
      <c r="H22">
        <v>0</v>
      </c>
      <c r="I22">
        <f t="shared" si="2"/>
        <v>0</v>
      </c>
      <c r="K22">
        <f t="shared" si="0"/>
        <v>90</v>
      </c>
      <c r="L22">
        <f t="shared" si="3"/>
        <v>0</v>
      </c>
      <c r="M22">
        <f t="shared" si="4"/>
        <v>0</v>
      </c>
      <c r="N22">
        <f t="shared" si="5"/>
        <v>0</v>
      </c>
      <c r="O22">
        <f t="shared" si="6"/>
        <v>0</v>
      </c>
      <c r="P22">
        <f t="shared" si="7"/>
        <v>0</v>
      </c>
      <c r="T22">
        <f>N6</f>
        <v>40</v>
      </c>
      <c r="U22">
        <f t="shared" si="8"/>
        <v>40</v>
      </c>
      <c r="V22">
        <f t="shared" si="8"/>
        <v>40</v>
      </c>
      <c r="W22">
        <f t="shared" si="8"/>
        <v>40</v>
      </c>
    </row>
    <row r="26" spans="4:23" x14ac:dyDescent="0.25">
      <c r="N26" s="5"/>
    </row>
    <row r="27" spans="4:23" x14ac:dyDescent="0.25">
      <c r="N27" s="5"/>
    </row>
    <row r="28" spans="4:23" x14ac:dyDescent="0.25">
      <c r="N28" s="5"/>
    </row>
    <row r="29" spans="4:23" x14ac:dyDescent="0.25">
      <c r="N29" s="5"/>
    </row>
    <row r="30" spans="4:23" x14ac:dyDescent="0.25">
      <c r="N30" s="5"/>
    </row>
    <row r="31" spans="4:23" x14ac:dyDescent="0.25">
      <c r="N31" s="5"/>
    </row>
    <row r="32" spans="4:23" x14ac:dyDescent="0.25">
      <c r="N32" s="5"/>
    </row>
    <row r="33" spans="14:14" x14ac:dyDescent="0.25">
      <c r="N33" s="5"/>
    </row>
    <row r="34" spans="14:14" x14ac:dyDescent="0.25">
      <c r="N34" s="5"/>
    </row>
    <row r="35" spans="14:14" x14ac:dyDescent="0.25">
      <c r="N35" s="5"/>
    </row>
    <row r="36" spans="14:14" x14ac:dyDescent="0.25">
      <c r="N36" s="5"/>
    </row>
    <row r="37" spans="14:14" x14ac:dyDescent="0.25">
      <c r="N37" s="5"/>
    </row>
    <row r="38" spans="14:14" x14ac:dyDescent="0.25">
      <c r="N38" s="5"/>
    </row>
    <row r="39" spans="14:14" x14ac:dyDescent="0.25">
      <c r="N39" s="5"/>
    </row>
    <row r="40" spans="14:14" x14ac:dyDescent="0.25">
      <c r="N40" s="5"/>
    </row>
    <row r="41" spans="14:14" x14ac:dyDescent="0.25">
      <c r="N41" s="5"/>
    </row>
    <row r="42" spans="14:14" x14ac:dyDescent="0.25">
      <c r="N42" s="5"/>
    </row>
    <row r="43" spans="14:14" x14ac:dyDescent="0.25">
      <c r="N43" s="5"/>
    </row>
    <row r="44" spans="14:14" x14ac:dyDescent="0.25">
      <c r="N44" s="5"/>
    </row>
    <row r="45" spans="14:14" x14ac:dyDescent="0.25">
      <c r="N45" s="5"/>
    </row>
    <row r="46" spans="14:14" x14ac:dyDescent="0.25">
      <c r="N46" s="5"/>
    </row>
    <row r="47" spans="14:14" x14ac:dyDescent="0.25">
      <c r="N47" s="5"/>
    </row>
    <row r="48" spans="14:14" x14ac:dyDescent="0.25">
      <c r="N48" s="5"/>
    </row>
    <row r="49" spans="14:14" x14ac:dyDescent="0.25">
      <c r="N49" s="5"/>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workbookViewId="0">
      <selection activeCell="D12" sqref="D12"/>
    </sheetView>
  </sheetViews>
  <sheetFormatPr defaultRowHeight="15" x14ac:dyDescent="0.25"/>
  <sheetData>
    <row r="1" spans="1:4" x14ac:dyDescent="0.25">
      <c r="A1" t="s">
        <v>0</v>
      </c>
      <c r="B1" t="s">
        <v>1</v>
      </c>
      <c r="C1" t="s">
        <v>2</v>
      </c>
      <c r="D1" t="s">
        <v>3</v>
      </c>
    </row>
    <row r="2" spans="1:4" x14ac:dyDescent="0.25">
      <c r="A2">
        <v>0</v>
      </c>
      <c r="B2">
        <v>5</v>
      </c>
      <c r="C2">
        <v>2</v>
      </c>
      <c r="D2">
        <v>3</v>
      </c>
    </row>
    <row r="3" spans="1:4" x14ac:dyDescent="0.25">
      <c r="A3">
        <v>4</v>
      </c>
      <c r="B3">
        <v>10</v>
      </c>
      <c r="C3">
        <v>5</v>
      </c>
      <c r="D3">
        <v>8</v>
      </c>
    </row>
    <row r="4" spans="1:4" x14ac:dyDescent="0.25">
      <c r="A4">
        <v>10</v>
      </c>
      <c r="B4">
        <v>40</v>
      </c>
      <c r="C4">
        <v>20</v>
      </c>
      <c r="D4">
        <v>30</v>
      </c>
    </row>
    <row r="5" spans="1:4" x14ac:dyDescent="0.25">
      <c r="A5">
        <v>40</v>
      </c>
      <c r="B5">
        <v>60</v>
      </c>
      <c r="C5">
        <v>15</v>
      </c>
      <c r="D5">
        <v>25</v>
      </c>
    </row>
    <row r="6" spans="1:4" x14ac:dyDescent="0.25">
      <c r="A6">
        <v>80</v>
      </c>
      <c r="B6">
        <v>25</v>
      </c>
      <c r="C6">
        <v>5</v>
      </c>
      <c r="D6">
        <v>10</v>
      </c>
    </row>
    <row r="7" spans="1:4" x14ac:dyDescent="0.25">
      <c r="A7">
        <v>90</v>
      </c>
      <c r="B7">
        <v>5</v>
      </c>
      <c r="C7">
        <v>0</v>
      </c>
      <c r="D7">
        <v>3</v>
      </c>
    </row>
    <row r="9" spans="1:4" x14ac:dyDescent="0.25">
      <c r="A9" t="s">
        <v>4</v>
      </c>
    </row>
    <row r="10" spans="1:4" x14ac:dyDescent="0.25">
      <c r="A10" t="s">
        <v>5</v>
      </c>
    </row>
    <row r="12" spans="1:4" ht="160.69999999999999" customHeight="1" x14ac:dyDescent="0.25">
      <c r="A12" s="6" t="s">
        <v>6</v>
      </c>
      <c r="B12" s="6"/>
      <c r="C12" s="6"/>
    </row>
  </sheetData>
  <mergeCells count="1">
    <mergeCell ref="A12:C12"/>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Fermentation profile v_0.1</vt:lpstr>
      <vt:lpstr>SimplFermentation Power Profile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Jip</cp:lastModifiedBy>
  <dcterms:created xsi:type="dcterms:W3CDTF">2025-12-17T14:37:05Z</dcterms:created>
  <dcterms:modified xsi:type="dcterms:W3CDTF">2025-12-18T12:03:20Z</dcterms:modified>
</cp:coreProperties>
</file>